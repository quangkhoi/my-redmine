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redmine-dashboard\"/>
    </mc:Choice>
  </mc:AlternateContent>
  <xr:revisionPtr revIDLastSave="0" documentId="13_ncr:1_{1210F27E-17E4-4A4B-B4BD-134E175BDF28}" xr6:coauthVersionLast="47" xr6:coauthVersionMax="47" xr10:uidLastSave="{00000000-0000-0000-0000-000000000000}"/>
  <bookViews>
    <workbookView xWindow="-98" yWindow="-98" windowWidth="23236" windowHeight="13875" tabRatio="806" firstSheet="2" activeTab="2" xr2:uid="{00000000-000D-0000-FFFF-FFFF00000000}"/>
  </bookViews>
  <sheets>
    <sheet name="Data" sheetId="11" state="hidden" r:id="rId1"/>
    <sheet name="→ Report (05.25~05.29)" sheetId="65" r:id="rId2"/>
    <sheet name="Report (mm.dd~mm.dd)" sheetId="64" r:id="rId3"/>
  </sheets>
  <definedNames>
    <definedName name="_xlnm._FilterDatabase" localSheetId="1" hidden="1">'→ Report (05.25~05.29)'!$C$37:$I$65</definedName>
    <definedName name="_xlnm._FilterDatabase" localSheetId="2" hidden="1">'Report (mm.dd~mm.dd)'!$C$24:$I$36</definedName>
    <definedName name="Done">Data!$A$6</definedName>
    <definedName name="SendPR">Data!$A$4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bihDX4JpbW8khSCt4meHokRQ7p0HcDgEWc8lCtGJohM="/>
    </ext>
  </extLst>
</workbook>
</file>

<file path=xl/calcChain.xml><?xml version="1.0" encoding="utf-8"?>
<calcChain xmlns="http://schemas.openxmlformats.org/spreadsheetml/2006/main">
  <c r="K68" i="65" l="1" a="1"/>
  <c r="K68" i="65" s="1"/>
  <c r="K67" i="65" a="1"/>
  <c r="K67" i="65" s="1"/>
  <c r="K66" i="65" a="1"/>
  <c r="K66" i="65" s="1"/>
  <c r="K65" i="65" a="1"/>
  <c r="K65" i="65" s="1"/>
  <c r="K62" i="65" a="1"/>
  <c r="K62" i="65" s="1"/>
  <c r="K61" i="65" a="1"/>
  <c r="K61" i="65" s="1"/>
  <c r="K60" i="65" a="1"/>
  <c r="K60" i="65" s="1"/>
  <c r="K59" i="65" a="1"/>
  <c r="K59" i="65" s="1"/>
  <c r="K58" i="65" a="1"/>
  <c r="K58" i="65" s="1"/>
  <c r="K57" i="65" a="1"/>
  <c r="K57" i="65" s="1"/>
  <c r="K56" i="65" a="1"/>
  <c r="K56" i="65" s="1"/>
  <c r="K55" i="65" a="1"/>
  <c r="K55" i="65" s="1"/>
  <c r="K54" i="65" a="1"/>
  <c r="K54" i="65" s="1"/>
  <c r="K53" i="65" a="1"/>
  <c r="K53" i="65" s="1"/>
  <c r="K52" i="65" a="1"/>
  <c r="K52" i="65" s="1"/>
  <c r="K51" i="65" a="1"/>
  <c r="K51" i="65" s="1"/>
  <c r="K50" i="65" a="1"/>
  <c r="K50" i="65" s="1"/>
  <c r="K49" i="65" a="1"/>
  <c r="K49" i="65" s="1"/>
  <c r="K48" i="65" a="1"/>
  <c r="K48" i="65" s="1"/>
  <c r="K47" i="65" a="1"/>
  <c r="K47" i="65" s="1"/>
  <c r="K46" i="65" a="1"/>
  <c r="K46" i="65" s="1"/>
  <c r="K45" i="65" a="1"/>
  <c r="K45" i="65" s="1"/>
  <c r="K44" i="65" a="1"/>
  <c r="K44" i="65" s="1"/>
  <c r="K43" i="65" a="1"/>
  <c r="K43" i="65" s="1"/>
  <c r="K42" i="65" a="1"/>
  <c r="K42" i="65" s="1"/>
  <c r="K41" i="65" a="1"/>
  <c r="K41" i="65" s="1"/>
  <c r="K40" i="65" a="1"/>
  <c r="K40" i="65" s="1"/>
  <c r="K39" i="65" a="1"/>
  <c r="K39" i="65" s="1"/>
  <c r="K32" i="65" a="1"/>
  <c r="K32" i="65" s="1"/>
  <c r="K31" i="65" a="1"/>
  <c r="K31" i="65" s="1"/>
  <c r="K30" i="65" a="1"/>
  <c r="K30" i="65" s="1"/>
  <c r="K28" i="65" a="1"/>
  <c r="K28" i="65" s="1"/>
  <c r="K27" i="65" a="1"/>
  <c r="K27" i="65" s="1"/>
  <c r="K26" i="65" a="1"/>
  <c r="K26" i="65" s="1"/>
  <c r="K25" i="65" a="1"/>
  <c r="K25" i="65" s="1"/>
  <c r="K24" i="65" a="1"/>
  <c r="K24" i="65" s="1"/>
  <c r="K23" i="65" a="1"/>
  <c r="K23" i="65" s="1"/>
  <c r="K22" i="65" a="1"/>
  <c r="K22" i="65" s="1"/>
  <c r="K21" i="65" a="1"/>
  <c r="K21" i="65" s="1"/>
  <c r="K20" i="65" a="1"/>
  <c r="K20" i="65" s="1"/>
  <c r="K19" i="65" a="1"/>
  <c r="K19" i="65" s="1"/>
  <c r="K18" i="65" a="1"/>
  <c r="K18" i="65" s="1"/>
  <c r="K17" i="65" a="1"/>
  <c r="K17" i="65" s="1"/>
  <c r="K16" i="65" a="1"/>
  <c r="K16" i="65" s="1"/>
  <c r="K15" i="65" a="1"/>
  <c r="K15" i="65" s="1"/>
  <c r="K14" i="65" a="1"/>
  <c r="K14" i="65" s="1"/>
  <c r="K13" i="65" a="1"/>
  <c r="K13" i="65" s="1"/>
  <c r="K12" i="65" a="1"/>
  <c r="K12" i="65" s="1"/>
  <c r="K11" i="65" a="1"/>
  <c r="K11" i="65" s="1"/>
  <c r="K10" i="65" a="1"/>
  <c r="K10" i="65" s="1"/>
  <c r="K9" i="65" a="1"/>
  <c r="K9" i="65" s="1"/>
  <c r="K8" i="65" a="1"/>
  <c r="K8" i="65" s="1"/>
  <c r="K7" i="65" a="1"/>
  <c r="K7" i="65" s="1"/>
  <c r="K39" i="64" a="1"/>
  <c r="K39" i="64" s="1"/>
  <c r="K38" i="64" a="1"/>
  <c r="K38" i="64" s="1"/>
  <c r="K37" i="64" a="1"/>
  <c r="K37" i="64" s="1"/>
  <c r="K36" i="64" a="1"/>
  <c r="K36" i="64" s="1"/>
  <c r="K35" i="64" a="1"/>
  <c r="K35" i="64" s="1"/>
  <c r="K34" i="64" a="1"/>
  <c r="K34" i="64" s="1"/>
  <c r="K33" i="64" a="1"/>
  <c r="K33" i="64" s="1"/>
  <c r="K32" i="64" a="1"/>
  <c r="K32" i="64" s="1"/>
  <c r="K31" i="64" a="1"/>
  <c r="K31" i="64" s="1"/>
  <c r="K30" i="64" a="1"/>
  <c r="K30" i="64" s="1"/>
  <c r="K29" i="64" a="1"/>
  <c r="K29" i="64" s="1"/>
  <c r="K28" i="64" a="1"/>
  <c r="K28" i="64" s="1"/>
  <c r="K27" i="64" a="1"/>
  <c r="K27" i="64" s="1"/>
  <c r="K26" i="64" a="1"/>
  <c r="K26" i="64" s="1"/>
  <c r="K19" i="64" a="1"/>
  <c r="K19" i="64" s="1"/>
  <c r="K18" i="64" a="1"/>
  <c r="K18" i="64" s="1"/>
  <c r="K17" i="64" a="1"/>
  <c r="K17" i="64" s="1"/>
  <c r="K15" i="64" a="1"/>
  <c r="K15" i="64" s="1"/>
  <c r="K14" i="64" a="1"/>
  <c r="K14" i="64" s="1"/>
  <c r="K13" i="64" a="1"/>
  <c r="K13" i="64" s="1"/>
  <c r="K12" i="64" a="1"/>
  <c r="K12" i="64" s="1"/>
  <c r="K11" i="64" a="1"/>
  <c r="K11" i="64" s="1"/>
  <c r="K10" i="64" a="1"/>
  <c r="K10" i="64" s="1"/>
  <c r="K9" i="64" a="1"/>
  <c r="K9" i="64" s="1"/>
  <c r="K8" i="64" a="1"/>
  <c r="K8" i="64" s="1"/>
  <c r="K7" i="64" a="1"/>
  <c r="K7" i="6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<sst xmlns="http://schemas.openxmlformats.org/spreadsheetml/2006/main" count="61" uniqueCount="28">
  <si>
    <t>未着手/ Not Start</t>
  </si>
  <si>
    <t>Dinh Thanh Duy</t>
  </si>
  <si>
    <t>対応中/ In-progress</t>
  </si>
  <si>
    <t>Duong Khoi</t>
  </si>
  <si>
    <t>PR作成済み/ PR Created</t>
  </si>
  <si>
    <t>Nam Tran</t>
  </si>
  <si>
    <t>PR共有済み/ Send PR to client</t>
  </si>
  <si>
    <t>Nguyen Tuyen</t>
  </si>
  <si>
    <t>確認待ち/ Waiting confirm</t>
  </si>
  <si>
    <t>完了/ Done</t>
  </si>
  <si>
    <t>保留中/ Pending</t>
  </si>
  <si>
    <t>キャンセル/ Cancel</t>
  </si>
  <si>
    <t>対応不要/No Action</t>
  </si>
  <si>
    <t>週報（2026年05月25日〜2026年05月29日）</t>
  </si>
  <si>
    <t>■先週の作業</t>
  </si>
  <si>
    <t>No</t>
  </si>
  <si>
    <t>クライアント名</t>
  </si>
  <si>
    <t>チケットID</t>
  </si>
  <si>
    <t>タイトル</t>
  </si>
  <si>
    <t>課題</t>
  </si>
  <si>
    <t>ステータス</t>
  </si>
  <si>
    <t>開始日</t>
  </si>
  <si>
    <t>終了日</t>
  </si>
  <si>
    <t>C#開発</t>
  </si>
  <si>
    <t>WEB開発</t>
  </si>
  <si>
    <t>◆今週の計画</t>
  </si>
  <si>
    <t>◆その他</t>
  </si>
  <si>
    <r>
      <rPr>
        <b/>
        <sz val="14"/>
        <color rgb="FF000000"/>
        <rFont val="ＭＳ 明朝"/>
        <family val="1"/>
        <charset val="128"/>
      </rPr>
      <t>週報（</t>
    </r>
    <r>
      <rPr>
        <b/>
        <sz val="14"/>
        <color rgb="FF000000"/>
        <rFont val="Aptos Serif"/>
        <family val="1"/>
      </rPr>
      <t>yyyy</t>
    </r>
    <r>
      <rPr>
        <b/>
        <sz val="14"/>
        <color rgb="FF000000"/>
        <rFont val="ＭＳ 明朝"/>
        <family val="1"/>
        <charset val="128"/>
      </rPr>
      <t>年</t>
    </r>
    <r>
      <rPr>
        <b/>
        <sz val="14"/>
        <color rgb="FF000000"/>
        <rFont val="Aptos Serif"/>
        <family val="1"/>
      </rPr>
      <t>mm</t>
    </r>
    <r>
      <rPr>
        <b/>
        <sz val="14"/>
        <color rgb="FF000000"/>
        <rFont val="ＭＳ 明朝"/>
        <family val="1"/>
        <charset val="128"/>
      </rPr>
      <t>月</t>
    </r>
    <r>
      <rPr>
        <b/>
        <sz val="14"/>
        <color rgb="FF000000"/>
        <rFont val="Aptos Serif"/>
        <family val="1"/>
      </rPr>
      <t>dd</t>
    </r>
    <r>
      <rPr>
        <b/>
        <sz val="14"/>
        <color rgb="FF000000"/>
        <rFont val="ＭＳ 明朝"/>
        <family val="1"/>
        <charset val="128"/>
      </rPr>
      <t>日〜</t>
    </r>
    <r>
      <rPr>
        <b/>
        <sz val="14"/>
        <color rgb="FF000000"/>
        <rFont val="Aptos Serif"/>
        <family val="1"/>
      </rPr>
      <t>yyyy</t>
    </r>
    <r>
      <rPr>
        <b/>
        <sz val="14"/>
        <color rgb="FF000000"/>
        <rFont val="ＭＳ 明朝"/>
        <family val="1"/>
        <charset val="128"/>
      </rPr>
      <t>年</t>
    </r>
    <r>
      <rPr>
        <b/>
        <sz val="14"/>
        <color rgb="FF000000"/>
        <rFont val="Aptos Serif"/>
        <family val="1"/>
      </rPr>
      <t>mm</t>
    </r>
    <r>
      <rPr>
        <b/>
        <sz val="14"/>
        <color rgb="FF000000"/>
        <rFont val="ＭＳ 明朝"/>
        <family val="1"/>
        <charset val="128"/>
      </rPr>
      <t>月</t>
    </r>
    <r>
      <rPr>
        <b/>
        <sz val="14"/>
        <color rgb="FF000000"/>
        <rFont val="Aptos Serif"/>
        <family val="1"/>
      </rPr>
      <t>dd</t>
    </r>
    <r>
      <rPr>
        <b/>
        <sz val="14"/>
        <color rgb="FF000000"/>
        <rFont val="ＭＳ 明朝"/>
        <family val="1"/>
        <charset val="128"/>
      </rPr>
      <t>日）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</si>
</sst>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color theme="1"/>
      <name val="MS PGothic"/>
      <scheme val="minor"/>
    </font>
    <font>
      <sz val="11"/>
      <color theme="1"/>
      <name val="MS PGothic"/>
      <family val="2"/>
      <scheme val="minor"/>
    </font>
    <font>
      <sz val="6"/>
      <name val="MS PGothic"/>
      <family val="3"/>
      <charset val="128"/>
      <scheme val="minor"/>
    </font>
    <font>
      <b/>
      <sz val="14"/>
      <color rgb="FF000000"/>
      <name val="ＭＳ 明朝"/>
      <family val="1"/>
      <charset val="128"/>
    </font>
    <font>
      <b/>
      <sz val="14"/>
      <color rgb="FF000000"/>
      <name val="Aptos Serif"/>
      <family val="1"/>
    </font>
    <font>
      <b/>
      <sz val="14"/>
      <color rgb="FF000000"/>
      <name val="Aptos Serif"/>
      <family val="1"/>
      <charset val="128"/>
    </font>
    <font>
      <u/>
      <sz val="11"/>
      <color theme="10"/>
      <name val="MS PGothic"/>
      <family val="3"/>
      <charset val="128"/>
      <scheme val="minor"/>
    </font>
    <font>
      <b/>
      <sz val="14"/>
      <color rgb="FF000000"/>
      <name val="Aptos Serif"/>
      <family val="1"/>
    </font>
    <font>
      <sz val="14"/>
      <color theme="1"/>
      <name val="Aptos Serif"/>
      <family val="1"/>
    </font>
    <font>
      <sz val="11"/>
      <color theme="1"/>
      <name val="Aptos Serif"/>
      <family val="1"/>
    </font>
    <font>
      <b/>
      <sz val="11"/>
      <color rgb="FF000000"/>
      <name val="Aptos Serif"/>
      <family val="1"/>
    </font>
    <font>
      <b/>
      <sz val="11"/>
      <color theme="1"/>
      <name val="Aptos Serif"/>
      <family val="1"/>
    </font>
    <font>
      <sz val="11"/>
      <color rgb="FF000000"/>
      <name val="Aptos Serif"/>
      <family val="1"/>
    </font>
    <font>
      <u/>
      <sz val="11"/>
      <color theme="10"/>
      <name val="Aptos Serif"/>
      <family val="1"/>
    </font>
    <font>
      <i/>
      <sz val="11"/>
      <color theme="1"/>
      <name val="Aptos Serif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ptos Serif"/>
      <family val="1"/>
    </font>
    <font>
      <b/>
      <sz val="12"/>
      <color theme="1"/>
      <name val="Aptos Serif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13" fillId="0" borderId="0" xfId="1" applyFont="1"/>
    <xf numFmtId="0" fontId="9" fillId="0" borderId="3" xfId="0" applyFont="1" applyBorder="1" applyAlignment="1">
      <alignment horizontal="left" vertical="center" wrapText="1"/>
    </xf>
    <xf numFmtId="0" fontId="12" fillId="0" borderId="0" xfId="0" applyFont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wrapText="1"/>
    </xf>
    <xf numFmtId="0" fontId="10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6" fillId="2" borderId="0" xfId="1" applyFill="1" applyBorder="1" applyAlignment="1">
      <alignment wrapText="1"/>
    </xf>
    <xf numFmtId="0" fontId="15" fillId="0" borderId="0" xfId="0" applyFont="1" applyAlignment="1">
      <alignment wrapText="1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/>
    </xf>
    <xf numFmtId="176" fontId="9" fillId="0" borderId="0" xfId="0" applyNumberFormat="1" applyFont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176" fontId="11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wrapText="1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FA7E55"/>
      <color rgb="FFFA1414"/>
      <color rgb="FFA1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7"/>
  <sheetViews>
    <sheetView workbookViewId="0">
      <selection activeCell="F24" sqref="F24"/>
    </sheetView>
  </sheetViews>
  <sheetFormatPr defaultColWidth="8.86328125" defaultRowHeight="12.75"/>
  <cols>
    <col min="1" max="1" width="32.1328125" customWidth="1"/>
  </cols>
  <sheetData>
    <row r="1" spans="1:3">
      <c r="A1" s="1" t="s">
        <v>0</v>
      </c>
      <c r="C1" t="s">
        <v>1</v>
      </c>
    </row>
    <row r="2" spans="1:3">
      <c r="A2" s="1" t="s">
        <v>2</v>
      </c>
      <c r="C2" t="s">
        <v>3</v>
      </c>
    </row>
    <row r="3" spans="1:3">
      <c r="A3" t="s">
        <v>4</v>
      </c>
      <c r="C3" t="s">
        <v>5</v>
      </c>
    </row>
    <row r="4" spans="1:3">
      <c r="A4" s="1" t="s">
        <v>6</v>
      </c>
      <c r="C4" t="s">
        <v>7</v>
      </c>
    </row>
    <row r="5" spans="1:3">
      <c r="A5" s="1" t="s">
        <v>8</v>
      </c>
    </row>
    <row r="6" spans="1:3">
      <c r="A6" s="1" t="s">
        <v>9</v>
      </c>
      <c r="B6" s="1"/>
    </row>
    <row r="7" spans="1:3">
      <c r="A7" s="1" t="s">
        <v>10</v>
      </c>
    </row>
    <row r="8" spans="1:3">
      <c r="A8" s="1" t="s">
        <v>11</v>
      </c>
    </row>
    <row r="9" spans="1:3">
      <c r="A9" s="1" t="s">
        <v>12</v>
      </c>
    </row>
    <row r="10" spans="1:3">
      <c r="A10" s="1"/>
    </row>
    <row r="11" spans="1:3">
      <c r="A11" s="1"/>
    </row>
    <row r="15" spans="1:3">
      <c r="A15" s="1"/>
    </row>
    <row r="16" spans="1:3">
      <c r="A16" s="1"/>
    </row>
    <row r="17" spans="1:1">
      <c r="A17" s="1"/>
    </row>
  </sheetData>
  <sortState xmlns:xlrd2="http://schemas.microsoft.com/office/spreadsheetml/2017/richdata2" ref="C1:C4">
    <sortCondition ref="C1:C4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BC02-CC3C-420A-9EA4-AB091F1F132F}">
  <dimension ref="A2:K71"/>
  <sheetViews>
    <sheetView zoomScaleNormal="100" workbookViewId="0">
      <selection activeCell="B5" sqref="B5:I5"/>
    </sheetView>
  </sheetViews>
  <sheetFormatPr defaultColWidth="8.86328125" defaultRowHeight="14.25"/>
  <cols>
    <col min="1" max="2" width="4" style="6" customWidth="1"/>
    <col min="3" max="3" width="20.86328125" style="5" customWidth="1"/>
    <col min="4" max="4" width="12.86328125" style="6" customWidth="1"/>
    <col min="5" max="5" width="51.86328125" style="6" customWidth="1"/>
    <col min="6" max="6" width="49.265625" style="7" customWidth="1"/>
    <col min="7" max="7" width="18" style="6" bestFit="1" customWidth="1"/>
    <col min="8" max="8" width="13.73046875" style="37" customWidth="1"/>
    <col min="9" max="9" width="14.59765625" style="37" customWidth="1"/>
    <col min="10" max="16377" width="9.1328125" style="6"/>
    <col min="16378" max="16378" width="8.86328125" style="6" bestFit="1" customWidth="1"/>
    <col min="16379" max="16384" width="8.86328125" style="6"/>
  </cols>
  <sheetData>
    <row r="2" spans="1:11" ht="18">
      <c r="A2" s="3" t="s">
        <v>13</v>
      </c>
      <c r="B2" s="4"/>
    </row>
    <row r="4" spans="1:11">
      <c r="A4" s="8" t="s">
        <v>14</v>
      </c>
    </row>
    <row r="5" spans="1:11" s="9" customFormat="1">
      <c r="B5" s="42" t="s">
        <v>15</v>
      </c>
      <c r="C5" s="42" t="s">
        <v>16</v>
      </c>
      <c r="D5" s="42" t="s">
        <v>17</v>
      </c>
      <c r="E5" s="42" t="s">
        <v>18</v>
      </c>
      <c r="F5" s="43" t="s">
        <v>19</v>
      </c>
      <c r="G5" s="42" t="s">
        <v>20</v>
      </c>
      <c r="H5" s="45" t="s">
        <v>21</v>
      </c>
      <c r="I5" s="45" t="s">
        <v>22</v>
      </c>
    </row>
    <row r="6" spans="1:11" s="9" customFormat="1" ht="15.75">
      <c r="B6" s="49" t="s">
        <v>23</v>
      </c>
      <c r="C6" s="50"/>
      <c r="D6" s="50"/>
      <c r="E6" s="50"/>
      <c r="F6" s="50"/>
      <c r="G6" s="50"/>
      <c r="H6" s="50"/>
      <c r="I6" s="51"/>
    </row>
    <row r="7" spans="1:11" s="9" customFormat="1">
      <c r="B7" s="10">
        <v>1</v>
      </c>
      <c r="C7" s="11"/>
      <c r="D7" s="12"/>
      <c r="E7" s="13"/>
      <c r="F7" s="14"/>
      <c r="G7" s="15"/>
      <c r="H7" s="35"/>
      <c r="I7" s="35"/>
      <c r="K7" s="33" cm="1">
        <f t="array" ref="K7">HYPERLINK("https://redmine.wdm.co.jp/issues/" &amp; INDEX(D:D,ROW()), INDEX(D:D,ROW()))</f>
        <v>0</v>
      </c>
    </row>
    <row r="8" spans="1:11" s="9" customFormat="1">
      <c r="B8" s="10">
        <v>2</v>
      </c>
      <c r="C8" s="11"/>
      <c r="D8" s="12"/>
      <c r="E8" s="13"/>
      <c r="F8" s="14"/>
      <c r="G8" s="15"/>
      <c r="H8" s="35"/>
      <c r="I8" s="35"/>
      <c r="K8" s="33" cm="1">
        <f t="array" ref="K8">HYPERLINK("https://redmine.wdm.co.jp/issues/" &amp; INDEX(D:D,ROW()), INDEX(D:D,ROW()))</f>
        <v>0</v>
      </c>
    </row>
    <row r="9" spans="1:11" s="9" customFormat="1">
      <c r="B9" s="10">
        <v>3</v>
      </c>
      <c r="C9" s="11"/>
      <c r="D9" s="12"/>
      <c r="E9" s="13"/>
      <c r="F9" s="14"/>
      <c r="G9" s="15"/>
      <c r="H9" s="35"/>
      <c r="I9" s="35"/>
      <c r="K9" s="33" cm="1">
        <f t="array" ref="K9">HYPERLINK("https://redmine.wdm.co.jp/issues/" &amp; INDEX(D:D,ROW()), INDEX(D:D,ROW()))</f>
        <v>0</v>
      </c>
    </row>
    <row r="10" spans="1:11" s="9" customFormat="1">
      <c r="B10" s="10">
        <v>4</v>
      </c>
      <c r="C10" s="11"/>
      <c r="D10" s="12"/>
      <c r="E10" s="13"/>
      <c r="F10" s="14"/>
      <c r="G10" s="15"/>
      <c r="H10" s="35"/>
      <c r="I10" s="35"/>
      <c r="K10" s="33" cm="1">
        <f t="array" ref="K10">HYPERLINK("https://redmine.wdm.co.jp/issues/" &amp; INDEX(D:D,ROW()), INDEX(D:D,ROW()))</f>
        <v>0</v>
      </c>
    </row>
    <row r="11" spans="1:11" s="9" customFormat="1">
      <c r="B11" s="10">
        <v>5</v>
      </c>
      <c r="C11" s="11"/>
      <c r="D11" s="12"/>
      <c r="E11" s="13"/>
      <c r="F11" s="14"/>
      <c r="G11" s="15"/>
      <c r="H11" s="35"/>
      <c r="I11" s="35"/>
      <c r="K11" s="33" cm="1">
        <f t="array" ref="K11">HYPERLINK("https://redmine.wdm.co.jp/issues/" &amp; INDEX(D:D,ROW()), INDEX(D:D,ROW()))</f>
        <v>0</v>
      </c>
    </row>
    <row r="12" spans="1:11" s="9" customFormat="1">
      <c r="B12" s="10">
        <v>6</v>
      </c>
      <c r="C12" s="11"/>
      <c r="D12" s="12"/>
      <c r="E12" s="13"/>
      <c r="F12" s="14"/>
      <c r="G12" s="15"/>
      <c r="H12" s="35"/>
      <c r="I12" s="35"/>
      <c r="K12" s="33" cm="1">
        <f t="array" ref="K12">HYPERLINK("https://redmine.wdm.co.jp/issues/" &amp; INDEX(D:D,ROW()), INDEX(D:D,ROW()))</f>
        <v>0</v>
      </c>
    </row>
    <row r="13" spans="1:11" s="9" customFormat="1">
      <c r="B13" s="10">
        <v>7</v>
      </c>
      <c r="C13" s="11"/>
      <c r="D13" s="12"/>
      <c r="E13" s="13"/>
      <c r="F13" s="14"/>
      <c r="G13" s="15"/>
      <c r="H13" s="35"/>
      <c r="I13" s="35"/>
      <c r="K13" s="33" cm="1">
        <f t="array" ref="K13">HYPERLINK("https://redmine.wdm.co.jp/issues/" &amp; INDEX(D:D,ROW()), INDEX(D:D,ROW()))</f>
        <v>0</v>
      </c>
    </row>
    <row r="14" spans="1:11" s="9" customFormat="1">
      <c r="B14" s="10">
        <v>8</v>
      </c>
      <c r="C14" s="11"/>
      <c r="D14" s="12"/>
      <c r="E14" s="13"/>
      <c r="F14" s="14"/>
      <c r="G14" s="15"/>
      <c r="H14" s="35"/>
      <c r="I14" s="35"/>
      <c r="K14" s="33" cm="1">
        <f t="array" ref="K14">HYPERLINK("https://redmine.wdm.co.jp/issues/" &amp; INDEX(D:D,ROW()), INDEX(D:D,ROW()))</f>
        <v>0</v>
      </c>
    </row>
    <row r="15" spans="1:11" s="9" customFormat="1">
      <c r="B15" s="10">
        <v>9</v>
      </c>
      <c r="C15" s="11"/>
      <c r="D15" s="12"/>
      <c r="E15" s="13"/>
      <c r="F15" s="14"/>
      <c r="G15" s="15"/>
      <c r="H15" s="35"/>
      <c r="I15" s="35"/>
      <c r="K15" s="33" cm="1">
        <f t="array" ref="K15">HYPERLINK("https://redmine.wdm.co.jp/issues/" &amp; INDEX(D:D,ROW()), INDEX(D:D,ROW()))</f>
        <v>0</v>
      </c>
    </row>
    <row r="16" spans="1:11" s="9" customFormat="1">
      <c r="B16" s="10">
        <v>10</v>
      </c>
      <c r="C16" s="11"/>
      <c r="D16" s="12"/>
      <c r="E16" s="13"/>
      <c r="F16" s="14"/>
      <c r="G16" s="15"/>
      <c r="H16" s="35"/>
      <c r="I16" s="35"/>
      <c r="K16" s="33" cm="1">
        <f t="array" ref="K16">HYPERLINK("https://redmine.wdm.co.jp/issues/" &amp; INDEX(D:D,ROW()), INDEX(D:D,ROW()))</f>
        <v>0</v>
      </c>
    </row>
    <row r="17" spans="1:11" s="9" customFormat="1">
      <c r="B17" s="10">
        <v>11</v>
      </c>
      <c r="C17" s="11"/>
      <c r="D17" s="12"/>
      <c r="E17" s="13"/>
      <c r="F17" s="14"/>
      <c r="G17" s="15"/>
      <c r="H17" s="35"/>
      <c r="I17" s="35"/>
      <c r="K17" s="33" cm="1">
        <f t="array" ref="K17">HYPERLINK("https://redmine.wdm.co.jp/issues/" &amp; INDEX(D:D,ROW()), INDEX(D:D,ROW()))</f>
        <v>0</v>
      </c>
    </row>
    <row r="18" spans="1:11">
      <c r="B18" s="10">
        <v>12</v>
      </c>
      <c r="C18" s="11"/>
      <c r="D18" s="12"/>
      <c r="E18" s="13"/>
      <c r="F18" s="14"/>
      <c r="G18" s="15"/>
      <c r="H18" s="35"/>
      <c r="I18" s="35"/>
      <c r="K18" s="33" cm="1">
        <f t="array" ref="K18">HYPERLINK("https://redmine.wdm.co.jp/issues/" &amp; INDEX(D:D,ROW()), INDEX(D:D,ROW()))</f>
        <v>0</v>
      </c>
    </row>
    <row r="19" spans="1:11">
      <c r="B19" s="10">
        <v>13</v>
      </c>
      <c r="C19" s="11"/>
      <c r="D19" s="12"/>
      <c r="E19" s="13"/>
      <c r="F19" s="14"/>
      <c r="G19" s="15"/>
      <c r="H19" s="35"/>
      <c r="I19" s="35"/>
      <c r="K19" s="33" cm="1">
        <f t="array" ref="K19">HYPERLINK("https://redmine.wdm.co.jp/issues/" &amp; INDEX(D:D,ROW()), INDEX(D:D,ROW()))</f>
        <v>0</v>
      </c>
    </row>
    <row r="20" spans="1:11">
      <c r="B20" s="10">
        <v>14</v>
      </c>
      <c r="C20" s="11"/>
      <c r="D20" s="12"/>
      <c r="E20" s="13"/>
      <c r="F20" s="14"/>
      <c r="G20" s="15"/>
      <c r="H20" s="35"/>
      <c r="I20" s="35"/>
      <c r="K20" s="33" cm="1">
        <f t="array" ref="K20">HYPERLINK("https://redmine.wdm.co.jp/issues/" &amp; INDEX(D:D,ROW()), INDEX(D:D,ROW()))</f>
        <v>0</v>
      </c>
    </row>
    <row r="21" spans="1:11">
      <c r="B21" s="10">
        <v>15</v>
      </c>
      <c r="C21" s="11"/>
      <c r="D21" s="12"/>
      <c r="E21" s="13"/>
      <c r="F21" s="14"/>
      <c r="G21" s="15"/>
      <c r="H21" s="35"/>
      <c r="I21" s="35"/>
      <c r="K21" s="33" cm="1">
        <f t="array" ref="K21">HYPERLINK("https://redmine.wdm.co.jp/issues/" &amp; INDEX(D:D,ROW()), INDEX(D:D,ROW()))</f>
        <v>0</v>
      </c>
    </row>
    <row r="22" spans="1:11">
      <c r="B22" s="10">
        <v>16</v>
      </c>
      <c r="C22" s="11"/>
      <c r="D22" s="12"/>
      <c r="E22" s="13"/>
      <c r="F22" s="14"/>
      <c r="G22" s="15"/>
      <c r="H22" s="35"/>
      <c r="I22" s="35"/>
      <c r="K22" s="33" cm="1">
        <f t="array" ref="K22">HYPERLINK("https://redmine.wdm.co.jp/issues/" &amp; INDEX(D:D,ROW()), INDEX(D:D,ROW()))</f>
        <v>0</v>
      </c>
    </row>
    <row r="23" spans="1:11">
      <c r="B23" s="10">
        <v>17</v>
      </c>
      <c r="C23" s="11"/>
      <c r="D23" s="12"/>
      <c r="E23" s="13"/>
      <c r="F23" s="14"/>
      <c r="G23" s="46"/>
      <c r="H23" s="35"/>
      <c r="I23" s="35"/>
      <c r="K23" s="33" cm="1">
        <f t="array" ref="K23">HYPERLINK("https://redmine.wdm.co.jp/issues/" &amp; INDEX(D:D,ROW()), INDEX(D:D,ROW()))</f>
        <v>0</v>
      </c>
    </row>
    <row r="24" spans="1:11">
      <c r="B24" s="10">
        <v>18</v>
      </c>
      <c r="C24" s="11"/>
      <c r="D24" s="12"/>
      <c r="E24" s="13"/>
      <c r="F24" s="14"/>
      <c r="G24" s="15"/>
      <c r="H24" s="35"/>
      <c r="I24" s="35"/>
      <c r="K24" s="33" cm="1">
        <f t="array" ref="K24">HYPERLINK("https://redmine.wdm.co.jp/issues/" &amp; INDEX(D:D,ROW()), INDEX(D:D,ROW()))</f>
        <v>0</v>
      </c>
    </row>
    <row r="25" spans="1:11">
      <c r="B25" s="10">
        <v>19</v>
      </c>
      <c r="C25" s="11"/>
      <c r="D25" s="12"/>
      <c r="E25" s="13"/>
      <c r="F25" s="14"/>
      <c r="G25" s="46"/>
      <c r="H25" s="35"/>
      <c r="I25" s="35"/>
      <c r="K25" s="33" cm="1">
        <f t="array" ref="K25">HYPERLINK("https://redmine.wdm.co.jp/issues/" &amp; INDEX(D:D,ROW()), INDEX(D:D,ROW()))</f>
        <v>0</v>
      </c>
    </row>
    <row r="26" spans="1:11">
      <c r="B26" s="10">
        <v>20</v>
      </c>
      <c r="C26" s="11"/>
      <c r="D26" s="12"/>
      <c r="E26" s="13"/>
      <c r="F26" s="14"/>
      <c r="G26" s="15"/>
      <c r="H26" s="35"/>
      <c r="I26" s="35"/>
      <c r="K26" s="33" cm="1">
        <f t="array" ref="K26">HYPERLINK("https://redmine.wdm.co.jp/issues/" &amp; INDEX(D:D,ROW()), INDEX(D:D,ROW()))</f>
        <v>0</v>
      </c>
    </row>
    <row r="27" spans="1:11">
      <c r="B27" s="10">
        <v>21</v>
      </c>
      <c r="C27" s="11"/>
      <c r="D27" s="12"/>
      <c r="E27" s="13"/>
      <c r="F27" s="14"/>
      <c r="G27" s="15"/>
      <c r="H27" s="35"/>
      <c r="I27" s="35"/>
      <c r="K27" s="33" cm="1">
        <f t="array" ref="K27">HYPERLINK("https://redmine.wdm.co.jp/issues/" &amp; INDEX(D:D,ROW()), INDEX(D:D,ROW()))</f>
        <v>0</v>
      </c>
    </row>
    <row r="28" spans="1:11">
      <c r="B28" s="10">
        <v>22</v>
      </c>
      <c r="C28" s="11"/>
      <c r="D28" s="12"/>
      <c r="E28" s="13"/>
      <c r="F28" s="14"/>
      <c r="G28" s="15"/>
      <c r="H28" s="35"/>
      <c r="I28" s="35"/>
      <c r="K28" s="33" cm="1">
        <f t="array" ref="K28">HYPERLINK("https://redmine.wdm.co.jp/issues/" &amp; INDEX(D:D,ROW()), INDEX(D:D,ROW()))</f>
        <v>0</v>
      </c>
    </row>
    <row r="29" spans="1:11" ht="15.75">
      <c r="B29" s="52" t="s">
        <v>24</v>
      </c>
      <c r="C29" s="53"/>
      <c r="D29" s="53"/>
      <c r="E29" s="53"/>
      <c r="F29" s="53"/>
      <c r="G29" s="53"/>
      <c r="H29" s="53"/>
      <c r="I29" s="54"/>
      <c r="K29" s="33"/>
    </row>
    <row r="30" spans="1:11">
      <c r="B30" s="10">
        <v>1</v>
      </c>
      <c r="C30" s="11"/>
      <c r="D30" s="12"/>
      <c r="E30" s="13"/>
      <c r="F30" s="14"/>
      <c r="G30" s="46"/>
      <c r="H30" s="35"/>
      <c r="I30" s="35"/>
      <c r="K30" s="33" cm="1">
        <f t="array" ref="K30">HYPERLINK("https://redmine.wdm.co.jp/issues/" &amp; INDEX(D:D,ROW()), INDEX(D:D,ROW()))</f>
        <v>0</v>
      </c>
    </row>
    <row r="31" spans="1:11">
      <c r="B31" s="10">
        <v>2</v>
      </c>
      <c r="C31" s="11"/>
      <c r="D31" s="12"/>
      <c r="E31" s="13"/>
      <c r="F31" s="14"/>
      <c r="G31" s="15"/>
      <c r="H31" s="35"/>
      <c r="I31" s="35"/>
      <c r="K31" s="33" cm="1">
        <f t="array" ref="K31">HYPERLINK("https://redmine.wdm.co.jp/issues/" &amp; INDEX(D:D,ROW()), INDEX(D:D,ROW()))</f>
        <v>0</v>
      </c>
    </row>
    <row r="32" spans="1:11">
      <c r="A32" s="18"/>
      <c r="B32" s="10">
        <v>3</v>
      </c>
      <c r="C32" s="20"/>
      <c r="D32" s="12"/>
      <c r="E32" s="13"/>
      <c r="F32" s="13"/>
      <c r="G32" s="20"/>
      <c r="H32" s="36"/>
      <c r="I32" s="36"/>
      <c r="K32" s="33" cm="1">
        <f t="array" ref="K32">HYPERLINK("https://redmine.wdm.co.jp/issues/" &amp; INDEX(D:D,ROW()), INDEX(D:D,ROW()))</f>
        <v>0</v>
      </c>
    </row>
    <row r="33" spans="1:11">
      <c r="A33" s="18"/>
      <c r="B33" s="21"/>
      <c r="C33" s="22"/>
      <c r="D33" s="23"/>
      <c r="E33" s="24"/>
      <c r="F33" s="24"/>
      <c r="G33" s="22"/>
      <c r="K33" s="16"/>
    </row>
    <row r="34" spans="1:11">
      <c r="A34" s="18"/>
      <c r="B34" s="55"/>
      <c r="C34" s="56"/>
      <c r="D34" s="56"/>
      <c r="E34" s="56"/>
      <c r="F34" s="56"/>
      <c r="G34" s="56"/>
      <c r="H34" s="56"/>
      <c r="I34" s="56"/>
      <c r="K34" s="16"/>
    </row>
    <row r="35" spans="1:11">
      <c r="A35" s="18"/>
      <c r="B35" s="18"/>
      <c r="E35" s="34"/>
    </row>
    <row r="36" spans="1:11" s="9" customFormat="1">
      <c r="A36" s="8" t="s">
        <v>25</v>
      </c>
      <c r="B36" s="8"/>
      <c r="C36" s="25"/>
      <c r="E36" s="26"/>
      <c r="F36" s="26"/>
      <c r="H36" s="39"/>
      <c r="I36" s="39"/>
    </row>
    <row r="37" spans="1:11" s="9" customFormat="1">
      <c r="A37" s="8"/>
      <c r="B37" s="40" t="s">
        <v>15</v>
      </c>
      <c r="C37" s="41" t="s">
        <v>16</v>
      </c>
      <c r="D37" s="42" t="s">
        <v>17</v>
      </c>
      <c r="E37" s="43" t="s">
        <v>18</v>
      </c>
      <c r="F37" s="43" t="s">
        <v>19</v>
      </c>
      <c r="G37" s="44" t="s">
        <v>20</v>
      </c>
      <c r="H37" s="38" t="s">
        <v>21</v>
      </c>
      <c r="I37" s="38" t="s">
        <v>22</v>
      </c>
    </row>
    <row r="38" spans="1:11" s="9" customFormat="1" ht="15.75">
      <c r="A38" s="8"/>
      <c r="B38" s="49" t="s">
        <v>23</v>
      </c>
      <c r="C38" s="50"/>
      <c r="D38" s="50"/>
      <c r="E38" s="50"/>
      <c r="F38" s="50"/>
      <c r="G38" s="50"/>
      <c r="H38" s="50"/>
      <c r="I38" s="51"/>
    </row>
    <row r="39" spans="1:11" s="9" customFormat="1">
      <c r="A39" s="8"/>
      <c r="B39" s="10">
        <v>1</v>
      </c>
      <c r="C39" s="11"/>
      <c r="D39" s="12"/>
      <c r="E39" s="13"/>
      <c r="F39" s="14"/>
      <c r="G39" s="47"/>
      <c r="H39" s="35"/>
      <c r="I39" s="35"/>
      <c r="K39" s="33" cm="1">
        <f t="array" ref="K39">HYPERLINK("https://redmine.wdm.co.jp/issues/" &amp; INDEX(D:D,ROW()), INDEX(D:D,ROW()))</f>
        <v>0</v>
      </c>
    </row>
    <row r="40" spans="1:11" s="9" customFormat="1">
      <c r="A40" s="18"/>
      <c r="B40" s="10">
        <v>2</v>
      </c>
      <c r="C40" s="11"/>
      <c r="D40" s="12"/>
      <c r="E40" s="13"/>
      <c r="F40" s="14"/>
      <c r="G40" s="15"/>
      <c r="H40" s="35"/>
      <c r="I40" s="35"/>
      <c r="J40" s="6"/>
      <c r="K40" s="33" cm="1">
        <f t="array" ref="K40">HYPERLINK("https://redmine.wdm.co.jp/issues/" &amp; INDEX(D:D,ROW()), INDEX(D:D,ROW()))</f>
        <v>0</v>
      </c>
    </row>
    <row r="41" spans="1:11" s="9" customFormat="1">
      <c r="A41" s="18"/>
      <c r="B41" s="10">
        <v>3</v>
      </c>
      <c r="C41" s="11"/>
      <c r="D41" s="12"/>
      <c r="E41" s="19"/>
      <c r="F41" s="14"/>
      <c r="G41" s="15"/>
      <c r="H41" s="36"/>
      <c r="I41" s="36"/>
      <c r="J41" s="6"/>
      <c r="K41" s="33" cm="1">
        <f t="array" ref="K41">HYPERLINK("https://redmine.wdm.co.jp/issues/" &amp; INDEX(D:D,ROW()), INDEX(D:D,ROW()))</f>
        <v>0</v>
      </c>
    </row>
    <row r="42" spans="1:11">
      <c r="A42" s="18"/>
      <c r="B42" s="10">
        <v>4</v>
      </c>
      <c r="C42" s="11"/>
      <c r="D42" s="12"/>
      <c r="E42" s="13"/>
      <c r="F42" s="28"/>
      <c r="G42" s="30"/>
      <c r="H42" s="35"/>
      <c r="I42" s="35"/>
      <c r="K42" s="33" cm="1">
        <f t="array" ref="K42">HYPERLINK("https://redmine.wdm.co.jp/issues/" &amp; INDEX(D:D,ROW()), INDEX(D:D,ROW()))</f>
        <v>0</v>
      </c>
    </row>
    <row r="43" spans="1:11">
      <c r="A43" s="18"/>
      <c r="B43" s="10">
        <v>5</v>
      </c>
      <c r="C43" s="11"/>
      <c r="D43" s="12"/>
      <c r="E43" s="19"/>
      <c r="F43" s="13"/>
      <c r="G43" s="30"/>
      <c r="H43" s="36"/>
      <c r="I43" s="36"/>
      <c r="J43" s="16"/>
      <c r="K43" s="33" cm="1">
        <f t="array" ref="K43">HYPERLINK("https://redmine.wdm.co.jp/issues/" &amp; INDEX(D:D,ROW()), INDEX(D:D,ROW()))</f>
        <v>0</v>
      </c>
    </row>
    <row r="44" spans="1:11">
      <c r="A44" s="18"/>
      <c r="B44" s="10">
        <v>6</v>
      </c>
      <c r="C44" s="11"/>
      <c r="D44" s="12"/>
      <c r="E44" s="19"/>
      <c r="F44" s="13"/>
      <c r="G44" s="30"/>
      <c r="H44" s="36"/>
      <c r="I44" s="36"/>
      <c r="J44" s="16"/>
      <c r="K44" s="33" cm="1">
        <f t="array" ref="K44">HYPERLINK("https://redmine.wdm.co.jp/issues/" &amp; INDEX(D:D,ROW()), INDEX(D:D,ROW()))</f>
        <v>0</v>
      </c>
    </row>
    <row r="45" spans="1:11">
      <c r="A45" s="18"/>
      <c r="B45" s="10">
        <v>7</v>
      </c>
      <c r="C45" s="11"/>
      <c r="D45" s="12"/>
      <c r="E45" s="19"/>
      <c r="F45" s="13"/>
      <c r="G45" s="27"/>
      <c r="H45" s="36"/>
      <c r="I45" s="36"/>
      <c r="J45" s="16"/>
      <c r="K45" s="33" cm="1">
        <f t="array" ref="K45">HYPERLINK("https://redmine.wdm.co.jp/issues/" &amp; INDEX(D:D,ROW()), INDEX(D:D,ROW()))</f>
        <v>0</v>
      </c>
    </row>
    <row r="46" spans="1:11">
      <c r="A46" s="18"/>
      <c r="B46" s="10">
        <v>8</v>
      </c>
      <c r="C46" s="11"/>
      <c r="D46" s="12"/>
      <c r="E46" s="19"/>
      <c r="F46" s="13"/>
      <c r="G46" s="30"/>
      <c r="H46" s="36"/>
      <c r="I46" s="36"/>
      <c r="J46" s="16"/>
      <c r="K46" s="33" cm="1">
        <f t="array" ref="K46">HYPERLINK("https://redmine.wdm.co.jp/issues/" &amp; INDEX(D:D,ROW()), INDEX(D:D,ROW()))</f>
        <v>0</v>
      </c>
    </row>
    <row r="47" spans="1:11">
      <c r="A47" s="18"/>
      <c r="B47" s="10">
        <v>9</v>
      </c>
      <c r="C47" s="11"/>
      <c r="D47" s="12"/>
      <c r="E47" s="19"/>
      <c r="F47" s="13"/>
      <c r="G47" s="30"/>
      <c r="H47" s="36"/>
      <c r="I47" s="36"/>
      <c r="J47" s="16"/>
      <c r="K47" s="33" cm="1">
        <f t="array" ref="K47">HYPERLINK("https://redmine.wdm.co.jp/issues/" &amp; INDEX(D:D,ROW()), INDEX(D:D,ROW()))</f>
        <v>0</v>
      </c>
    </row>
    <row r="48" spans="1:11">
      <c r="A48" s="18"/>
      <c r="B48" s="10">
        <v>10</v>
      </c>
      <c r="C48" s="11"/>
      <c r="D48" s="12"/>
      <c r="E48" s="19"/>
      <c r="F48" s="13"/>
      <c r="G48" s="30"/>
      <c r="H48" s="36"/>
      <c r="I48" s="36"/>
      <c r="J48" s="16"/>
      <c r="K48" s="33" cm="1">
        <f t="array" ref="K48">HYPERLINK("https://redmine.wdm.co.jp/issues/" &amp; INDEX(D:D,ROW()), INDEX(D:D,ROW()))</f>
        <v>0</v>
      </c>
    </row>
    <row r="49" spans="1:11">
      <c r="A49" s="18"/>
      <c r="B49" s="10">
        <v>11</v>
      </c>
      <c r="C49" s="11"/>
      <c r="D49" s="12"/>
      <c r="E49" s="19"/>
      <c r="F49" s="13"/>
      <c r="G49" s="27"/>
      <c r="H49" s="36"/>
      <c r="I49" s="36"/>
      <c r="J49" s="16"/>
      <c r="K49" s="33" cm="1">
        <f t="array" ref="K49">HYPERLINK("https://redmine.wdm.co.jp/issues/" &amp; INDEX(D:D,ROW()), INDEX(D:D,ROW()))</f>
        <v>0</v>
      </c>
    </row>
    <row r="50" spans="1:11">
      <c r="A50" s="18"/>
      <c r="B50" s="10">
        <v>12</v>
      </c>
      <c r="C50" s="11"/>
      <c r="D50" s="12"/>
      <c r="E50" s="19"/>
      <c r="F50" s="13"/>
      <c r="G50" s="30"/>
      <c r="H50" s="36"/>
      <c r="I50" s="36"/>
      <c r="J50" s="16"/>
      <c r="K50" s="33" cm="1">
        <f t="array" ref="K50">HYPERLINK("https://redmine.wdm.co.jp/issues/" &amp; INDEX(D:D,ROW()), INDEX(D:D,ROW()))</f>
        <v>0</v>
      </c>
    </row>
    <row r="51" spans="1:11">
      <c r="A51" s="18"/>
      <c r="B51" s="10">
        <v>13</v>
      </c>
      <c r="C51" s="11"/>
      <c r="D51" s="12"/>
      <c r="E51" s="19"/>
      <c r="F51" s="13"/>
      <c r="G51" s="30"/>
      <c r="H51" s="36"/>
      <c r="I51" s="36"/>
      <c r="J51" s="16"/>
      <c r="K51" s="33" cm="1">
        <f t="array" ref="K51">HYPERLINK("https://redmine.wdm.co.jp/issues/" &amp; INDEX(D:D,ROW()), INDEX(D:D,ROW()))</f>
        <v>0</v>
      </c>
    </row>
    <row r="52" spans="1:11">
      <c r="A52" s="18"/>
      <c r="B52" s="10">
        <v>14</v>
      </c>
      <c r="C52" s="11"/>
      <c r="D52" s="12"/>
      <c r="E52" s="19"/>
      <c r="F52" s="13"/>
      <c r="G52" s="30"/>
      <c r="H52" s="36"/>
      <c r="I52" s="36"/>
      <c r="J52" s="16"/>
      <c r="K52" s="33" cm="1">
        <f t="array" ref="K52">HYPERLINK("https://redmine.wdm.co.jp/issues/" &amp; INDEX(D:D,ROW()), INDEX(D:D,ROW()))</f>
        <v>0</v>
      </c>
    </row>
    <row r="53" spans="1:11">
      <c r="A53" s="18"/>
      <c r="B53" s="10">
        <v>15</v>
      </c>
      <c r="C53" s="11"/>
      <c r="D53" s="12"/>
      <c r="E53" s="19"/>
      <c r="F53" s="13"/>
      <c r="G53" s="30"/>
      <c r="H53" s="36"/>
      <c r="I53" s="36"/>
      <c r="J53" s="16"/>
      <c r="K53" s="33" cm="1">
        <f t="array" ref="K53">HYPERLINK("https://redmine.wdm.co.jp/issues/" &amp; INDEX(D:D,ROW()), INDEX(D:D,ROW()))</f>
        <v>0</v>
      </c>
    </row>
    <row r="54" spans="1:11">
      <c r="A54" s="18"/>
      <c r="B54" s="10">
        <v>16</v>
      </c>
      <c r="C54" s="11"/>
      <c r="D54" s="12"/>
      <c r="E54" s="13"/>
      <c r="F54" s="13"/>
      <c r="G54" s="30"/>
      <c r="H54" s="36"/>
      <c r="I54" s="36"/>
      <c r="J54" s="16"/>
      <c r="K54" s="33" cm="1">
        <f t="array" ref="K54">HYPERLINK("https://redmine.wdm.co.jp/issues/" &amp; INDEX(D:D,ROW()), INDEX(D:D,ROW()))</f>
        <v>0</v>
      </c>
    </row>
    <row r="55" spans="1:11">
      <c r="A55" s="18"/>
      <c r="B55" s="10">
        <v>17</v>
      </c>
      <c r="C55" s="11"/>
      <c r="D55" s="12"/>
      <c r="E55" s="19"/>
      <c r="F55" s="13"/>
      <c r="G55" s="30"/>
      <c r="H55" s="36"/>
      <c r="I55" s="36"/>
      <c r="J55" s="16"/>
      <c r="K55" s="33" cm="1">
        <f t="array" ref="K55">HYPERLINK("https://redmine.wdm.co.jp/issues/" &amp; INDEX(D:D,ROW()), INDEX(D:D,ROW()))</f>
        <v>0</v>
      </c>
    </row>
    <row r="56" spans="1:11">
      <c r="A56" s="18"/>
      <c r="B56" s="10">
        <v>18</v>
      </c>
      <c r="C56" s="17"/>
      <c r="D56" s="12"/>
      <c r="E56" s="19"/>
      <c r="F56" s="13"/>
      <c r="G56" s="30"/>
      <c r="H56" s="36"/>
      <c r="I56" s="36"/>
      <c r="J56" s="16"/>
      <c r="K56" s="33" cm="1">
        <f t="array" ref="K56">HYPERLINK("https://redmine.wdm.co.jp/issues/" &amp; INDEX(D:D,ROW()), INDEX(D:D,ROW()))</f>
        <v>0</v>
      </c>
    </row>
    <row r="57" spans="1:11">
      <c r="A57" s="18"/>
      <c r="B57" s="10">
        <v>19</v>
      </c>
      <c r="C57" s="11"/>
      <c r="D57" s="12"/>
      <c r="E57" s="19"/>
      <c r="F57" s="13"/>
      <c r="G57" s="30"/>
      <c r="H57" s="36"/>
      <c r="I57" s="36"/>
      <c r="J57" s="16"/>
      <c r="K57" s="33" cm="1">
        <f t="array" ref="K57">HYPERLINK("https://redmine.wdm.co.jp/issues/" &amp; INDEX(D:D,ROW()), INDEX(D:D,ROW()))</f>
        <v>0</v>
      </c>
    </row>
    <row r="58" spans="1:11">
      <c r="A58" s="18"/>
      <c r="B58" s="10">
        <v>20</v>
      </c>
      <c r="C58" s="11"/>
      <c r="D58" s="12"/>
      <c r="E58" s="19"/>
      <c r="F58" s="13"/>
      <c r="G58" s="29"/>
      <c r="H58" s="36"/>
      <c r="I58" s="36"/>
      <c r="J58" s="16"/>
      <c r="K58" s="33" cm="1">
        <f t="array" ref="K58">HYPERLINK("https://redmine.wdm.co.jp/issues/" &amp; INDEX(D:D,ROW()), INDEX(D:D,ROW()))</f>
        <v>0</v>
      </c>
    </row>
    <row r="59" spans="1:11">
      <c r="A59" s="18"/>
      <c r="B59" s="10">
        <v>21</v>
      </c>
      <c r="C59" s="17"/>
      <c r="D59" s="13"/>
      <c r="E59" s="13"/>
      <c r="F59" s="13"/>
      <c r="G59" s="30"/>
      <c r="H59" s="36"/>
      <c r="I59" s="36"/>
      <c r="J59" s="16"/>
      <c r="K59" s="33" cm="1">
        <f t="array" ref="K59">HYPERLINK("https://redmine.wdm.co.jp/issues/" &amp; INDEX(D:D,ROW()), INDEX(D:D,ROW()))</f>
        <v>0</v>
      </c>
    </row>
    <row r="60" spans="1:11">
      <c r="A60" s="18"/>
      <c r="B60" s="10">
        <v>22</v>
      </c>
      <c r="C60" s="17"/>
      <c r="D60" s="13"/>
      <c r="E60" s="13"/>
      <c r="F60" s="13"/>
      <c r="G60" s="30"/>
      <c r="H60" s="36"/>
      <c r="I60" s="36"/>
      <c r="J60" s="16"/>
      <c r="K60" s="33" cm="1">
        <f t="array" ref="K60">HYPERLINK("https://redmine.wdm.co.jp/issues/" &amp; INDEX(D:D,ROW()), INDEX(D:D,ROW()))</f>
        <v>0</v>
      </c>
    </row>
    <row r="61" spans="1:11">
      <c r="A61" s="18"/>
      <c r="B61" s="10">
        <v>23</v>
      </c>
      <c r="C61" s="17"/>
      <c r="D61" s="13"/>
      <c r="E61" s="13"/>
      <c r="F61" s="13"/>
      <c r="G61" s="30"/>
      <c r="H61" s="36"/>
      <c r="I61" s="36"/>
      <c r="J61" s="16"/>
      <c r="K61" s="33" cm="1">
        <f t="array" ref="K61">HYPERLINK("https://redmine.wdm.co.jp/issues/" &amp; INDEX(D:D,ROW()), INDEX(D:D,ROW()))</f>
        <v>0</v>
      </c>
    </row>
    <row r="62" spans="1:11">
      <c r="A62" s="18"/>
      <c r="B62" s="10">
        <v>24</v>
      </c>
      <c r="C62" s="17"/>
      <c r="D62" s="13"/>
      <c r="E62" s="13"/>
      <c r="F62" s="13"/>
      <c r="G62" s="30"/>
      <c r="H62" s="36"/>
      <c r="I62" s="36"/>
      <c r="J62" s="16"/>
      <c r="K62" s="33" cm="1">
        <f t="array" ref="K62">HYPERLINK("https://redmine.wdm.co.jp/issues/" &amp; INDEX(D:D,ROW()), INDEX(D:D,ROW()))</f>
        <v>0</v>
      </c>
    </row>
    <row r="63" spans="1:11">
      <c r="A63" s="18"/>
      <c r="B63" s="10">
        <v>25</v>
      </c>
      <c r="C63" s="17"/>
      <c r="D63" s="13"/>
      <c r="E63" s="13"/>
      <c r="F63" s="13"/>
      <c r="G63" s="30"/>
      <c r="H63" s="36"/>
      <c r="I63" s="36"/>
      <c r="J63" s="16"/>
      <c r="K63" s="33"/>
    </row>
    <row r="64" spans="1:11">
      <c r="A64" s="18"/>
      <c r="B64" s="10">
        <v>26</v>
      </c>
      <c r="C64" s="17"/>
      <c r="D64" s="13"/>
      <c r="E64" s="13"/>
      <c r="F64" s="13"/>
      <c r="G64" s="30"/>
      <c r="H64" s="36"/>
      <c r="I64" s="36"/>
      <c r="J64" s="16"/>
      <c r="K64" s="33"/>
    </row>
    <row r="65" spans="1:11" ht="15.75">
      <c r="A65" s="18"/>
      <c r="B65" s="52" t="s">
        <v>24</v>
      </c>
      <c r="C65" s="53"/>
      <c r="D65" s="53"/>
      <c r="E65" s="53"/>
      <c r="F65" s="53"/>
      <c r="G65" s="53"/>
      <c r="H65" s="53"/>
      <c r="I65" s="54"/>
      <c r="J65" s="16"/>
      <c r="K65" s="33" cm="1">
        <f t="array" ref="K65">HYPERLINK("https://redmine.wdm.co.jp/issues/" &amp; INDEX(D:D,ROW()), INDEX(D:D,ROW()))</f>
        <v>0</v>
      </c>
    </row>
    <row r="66" spans="1:11">
      <c r="A66" s="18"/>
      <c r="B66" s="10">
        <v>1</v>
      </c>
      <c r="C66" s="11"/>
      <c r="D66" s="12"/>
      <c r="E66" s="19"/>
      <c r="F66" s="13"/>
      <c r="G66" s="46"/>
      <c r="H66" s="36"/>
      <c r="I66" s="36"/>
      <c r="J66" s="16"/>
      <c r="K66" s="33" cm="1">
        <f t="array" ref="K66">HYPERLINK("https://redmine.wdm.co.jp/issues/" &amp; INDEX(D:D,ROW()), INDEX(D:D,ROW()))</f>
        <v>0</v>
      </c>
    </row>
    <row r="67" spans="1:11">
      <c r="A67" s="18"/>
      <c r="B67" s="10">
        <v>2</v>
      </c>
      <c r="C67" s="11"/>
      <c r="D67" s="12"/>
      <c r="E67" s="19"/>
      <c r="F67" s="13"/>
      <c r="G67" s="46"/>
      <c r="H67" s="36"/>
      <c r="I67" s="36"/>
      <c r="J67" s="16"/>
      <c r="K67" s="33" cm="1">
        <f t="array" ref="K67">HYPERLINK("https://redmine.wdm.co.jp/issues/" &amp; INDEX(D:D,ROW()), INDEX(D:D,ROW()))</f>
        <v>0</v>
      </c>
    </row>
    <row r="68" spans="1:11">
      <c r="A68" s="18"/>
      <c r="B68" s="10">
        <v>3</v>
      </c>
      <c r="C68" s="11"/>
      <c r="D68" s="12"/>
      <c r="E68" s="19"/>
      <c r="F68" s="13"/>
      <c r="G68" s="46"/>
      <c r="H68" s="36"/>
      <c r="I68" s="36"/>
      <c r="J68" s="16"/>
      <c r="K68" s="33" cm="1">
        <f t="array" ref="K68">HYPERLINK("https://redmine.wdm.co.jp/issues/" &amp; INDEX(D:D,ROW()), INDEX(D:D,ROW()))</f>
        <v>0</v>
      </c>
    </row>
    <row r="69" spans="1:11">
      <c r="B69" s="23"/>
      <c r="C69" s="31"/>
      <c r="D69" s="23"/>
      <c r="E69" s="22"/>
      <c r="F69" s="24"/>
      <c r="G69" s="23"/>
    </row>
    <row r="70" spans="1:11">
      <c r="A70" s="18" t="s">
        <v>26</v>
      </c>
      <c r="E70" s="32"/>
    </row>
    <row r="71" spans="1:11">
      <c r="A71" s="18"/>
      <c r="B71" s="48"/>
      <c r="C71" s="48"/>
      <c r="D71" s="48"/>
      <c r="E71" s="48"/>
      <c r="F71" s="48"/>
      <c r="G71" s="48"/>
      <c r="H71" s="48"/>
      <c r="I71" s="48"/>
    </row>
  </sheetData>
  <mergeCells count="6">
    <mergeCell ref="B71:I71"/>
    <mergeCell ref="B6:I6"/>
    <mergeCell ref="B29:I29"/>
    <mergeCell ref="B34:I34"/>
    <mergeCell ref="B38:I38"/>
    <mergeCell ref="B65:I65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4A2C-2DA7-4460-9232-F6043BF886DB}">
  <dimension ref="A2:K42"/>
  <sheetViews>
    <sheetView tabSelected="1" zoomScaleNormal="100" workbookViewId="0">
      <selection activeCell="E11" sqref="E11"/>
    </sheetView>
  </sheetViews>
  <sheetFormatPr defaultColWidth="8.86328125" defaultRowHeight="14.25"/>
  <cols>
    <col min="1" max="2" width="4" style="6" customWidth="1"/>
    <col min="3" max="3" width="20.86328125" style="5" customWidth="1"/>
    <col min="4" max="4" width="12.86328125" style="6" customWidth="1"/>
    <col min="5" max="5" width="51.86328125" style="6" customWidth="1"/>
    <col min="6" max="6" width="49.265625" style="7" customWidth="1"/>
    <col min="7" max="7" width="18" style="6" bestFit="1" customWidth="1"/>
    <col min="8" max="8" width="13.73046875" style="37" customWidth="1"/>
    <col min="9" max="9" width="14.59765625" style="37" customWidth="1"/>
    <col min="10" max="16377" width="9.1328125" style="6"/>
    <col min="16378" max="16378" width="8.86328125" style="6" bestFit="1" customWidth="1"/>
    <col min="16379" max="16384" width="8.86328125" style="6"/>
  </cols>
  <sheetData>
    <row r="2" spans="1:11" ht="18">
      <c r="A2" s="2" t="s">
        <v>27</v>
      </c>
      <c r="B2" s="4"/>
    </row>
    <row r="4" spans="1:11">
      <c r="A4" s="8" t="s">
        <v>14</v>
      </c>
    </row>
    <row r="5" spans="1:11" s="9" customFormat="1">
      <c r="B5" s="42" t="s">
        <v>15</v>
      </c>
      <c r="C5" s="42" t="s">
        <v>16</v>
      </c>
      <c r="D5" s="42" t="s">
        <v>17</v>
      </c>
      <c r="E5" s="42" t="s">
        <v>18</v>
      </c>
      <c r="F5" s="43" t="s">
        <v>19</v>
      </c>
      <c r="G5" s="42" t="s">
        <v>20</v>
      </c>
      <c r="H5" s="45" t="s">
        <v>21</v>
      </c>
      <c r="I5" s="45" t="s">
        <v>22</v>
      </c>
    </row>
    <row r="6" spans="1:11" s="9" customFormat="1" ht="15.75">
      <c r="B6" s="49" t="s">
        <v>23</v>
      </c>
      <c r="C6" s="50"/>
      <c r="D6" s="50"/>
      <c r="E6" s="50"/>
      <c r="F6" s="50"/>
      <c r="G6" s="50"/>
      <c r="H6" s="50"/>
      <c r="I6" s="51"/>
    </row>
    <row r="7" spans="1:11" s="9" customFormat="1">
      <c r="B7" s="10">
        <v>1</v>
      </c>
      <c r="C7" s="11"/>
      <c r="D7" s="12"/>
      <c r="E7" s="13"/>
      <c r="F7" s="14"/>
      <c r="G7" s="15"/>
      <c r="H7" s="35"/>
      <c r="I7" s="35"/>
      <c r="K7" s="33" cm="1">
        <f t="array" ref="K7">HYPERLINK("https://redmine.wdm.co.jp/issues/" &amp; INDEX(D:D,ROW()), INDEX(D:D,ROW()))</f>
        <v>0</v>
      </c>
    </row>
    <row r="8" spans="1:11" s="9" customFormat="1">
      <c r="B8" s="10">
        <v>2</v>
      </c>
      <c r="C8" s="11"/>
      <c r="D8" s="12"/>
      <c r="E8" s="13"/>
      <c r="F8" s="14"/>
      <c r="G8" s="15"/>
      <c r="H8" s="35"/>
      <c r="I8" s="35"/>
      <c r="K8" s="33" cm="1">
        <f t="array" ref="K8">HYPERLINK("https://redmine.wdm.co.jp/issues/" &amp; INDEX(D:D,ROW()), INDEX(D:D,ROW()))</f>
        <v>0</v>
      </c>
    </row>
    <row r="9" spans="1:11" s="9" customFormat="1">
      <c r="B9" s="10">
        <v>3</v>
      </c>
      <c r="C9" s="11"/>
      <c r="D9" s="12"/>
      <c r="E9" s="13"/>
      <c r="F9" s="14"/>
      <c r="G9" s="15"/>
      <c r="H9" s="35"/>
      <c r="I9" s="35"/>
      <c r="K9" s="33" cm="1">
        <f t="array" ref="K9">HYPERLINK("https://redmine.wdm.co.jp/issues/" &amp; INDEX(D:D,ROW()), INDEX(D:D,ROW()))</f>
        <v>0</v>
      </c>
    </row>
    <row r="10" spans="1:11" s="9" customFormat="1">
      <c r="B10" s="10">
        <v>4</v>
      </c>
      <c r="C10" s="11"/>
      <c r="D10" s="12"/>
      <c r="E10" s="13"/>
      <c r="F10" s="14"/>
      <c r="G10" s="15"/>
      <c r="H10" s="35"/>
      <c r="I10" s="35"/>
      <c r="K10" s="33" cm="1">
        <f t="array" ref="K10">HYPERLINK("https://redmine.wdm.co.jp/issues/" &amp; INDEX(D:D,ROW()), INDEX(D:D,ROW()))</f>
        <v>0</v>
      </c>
    </row>
    <row r="11" spans="1:11" s="9" customFormat="1">
      <c r="B11" s="10">
        <v>5</v>
      </c>
      <c r="C11" s="11"/>
      <c r="D11" s="12"/>
      <c r="E11" s="13"/>
      <c r="F11" s="14"/>
      <c r="G11" s="15"/>
      <c r="H11" s="35"/>
      <c r="I11" s="35"/>
      <c r="K11" s="33" cm="1">
        <f t="array" ref="K11">HYPERLINK("https://redmine.wdm.co.jp/issues/" &amp; INDEX(D:D,ROW()), INDEX(D:D,ROW()))</f>
        <v>0</v>
      </c>
    </row>
    <row r="12" spans="1:11" s="9" customFormat="1">
      <c r="B12" s="10">
        <v>6</v>
      </c>
      <c r="C12" s="11"/>
      <c r="D12" s="12"/>
      <c r="E12" s="13"/>
      <c r="F12" s="14"/>
      <c r="G12" s="15"/>
      <c r="H12" s="35"/>
      <c r="I12" s="35"/>
      <c r="K12" s="33" cm="1">
        <f t="array" ref="K12">HYPERLINK("https://redmine.wdm.co.jp/issues/" &amp; INDEX(D:D,ROW()), INDEX(D:D,ROW()))</f>
        <v>0</v>
      </c>
    </row>
    <row r="13" spans="1:11" s="9" customFormat="1">
      <c r="B13" s="10">
        <v>7</v>
      </c>
      <c r="C13" s="11"/>
      <c r="D13" s="12"/>
      <c r="E13" s="13"/>
      <c r="F13" s="14"/>
      <c r="G13" s="15"/>
      <c r="H13" s="35"/>
      <c r="I13" s="35"/>
      <c r="K13" s="33" cm="1">
        <f t="array" ref="K13">HYPERLINK("https://redmine.wdm.co.jp/issues/" &amp; INDEX(D:D,ROW()), INDEX(D:D,ROW()))</f>
        <v>0</v>
      </c>
    </row>
    <row r="14" spans="1:11" s="9" customFormat="1">
      <c r="B14" s="10">
        <v>8</v>
      </c>
      <c r="C14" s="11"/>
      <c r="D14" s="12"/>
      <c r="E14" s="13"/>
      <c r="F14" s="14"/>
      <c r="G14" s="15"/>
      <c r="H14" s="35"/>
      <c r="I14" s="35"/>
      <c r="K14" s="33" cm="1">
        <f t="array" ref="K14">HYPERLINK("https://redmine.wdm.co.jp/issues/" &amp; INDEX(D:D,ROW()), INDEX(D:D,ROW()))</f>
        <v>0</v>
      </c>
    </row>
    <row r="15" spans="1:11" s="9" customFormat="1">
      <c r="B15" s="10">
        <v>9</v>
      </c>
      <c r="C15" s="11"/>
      <c r="D15" s="12"/>
      <c r="E15" s="13"/>
      <c r="F15" s="14"/>
      <c r="G15" s="15"/>
      <c r="H15" s="35"/>
      <c r="I15" s="35"/>
      <c r="K15" s="33" cm="1">
        <f t="array" ref="K15">HYPERLINK("https://redmine.wdm.co.jp/issues/" &amp; INDEX(D:D,ROW()), INDEX(D:D,ROW()))</f>
        <v>0</v>
      </c>
    </row>
    <row r="16" spans="1:11" ht="15.75">
      <c r="B16" s="52" t="s">
        <v>24</v>
      </c>
      <c r="C16" s="53"/>
      <c r="D16" s="53"/>
      <c r="E16" s="53"/>
      <c r="F16" s="53"/>
      <c r="G16" s="53"/>
      <c r="H16" s="53"/>
      <c r="I16" s="54"/>
      <c r="K16" s="33"/>
    </row>
    <row r="17" spans="1:11">
      <c r="B17" s="10">
        <v>1</v>
      </c>
      <c r="C17" s="11"/>
      <c r="D17" s="12"/>
      <c r="E17" s="13"/>
      <c r="F17" s="14"/>
      <c r="G17" s="46"/>
      <c r="H17" s="35"/>
      <c r="I17" s="35"/>
      <c r="K17" s="33" cm="1">
        <f t="array" ref="K17">HYPERLINK("https://redmine.wdm.co.jp/issues/" &amp; INDEX(D:D,ROW()), INDEX(D:D,ROW()))</f>
        <v>0</v>
      </c>
    </row>
    <row r="18" spans="1:11">
      <c r="B18" s="10">
        <v>2</v>
      </c>
      <c r="C18" s="11"/>
      <c r="D18" s="12"/>
      <c r="E18" s="13"/>
      <c r="F18" s="14"/>
      <c r="G18" s="15"/>
      <c r="H18" s="35"/>
      <c r="I18" s="35"/>
      <c r="K18" s="33" cm="1">
        <f t="array" ref="K18">HYPERLINK("https://redmine.wdm.co.jp/issues/" &amp; INDEX(D:D,ROW()), INDEX(D:D,ROW()))</f>
        <v>0</v>
      </c>
    </row>
    <row r="19" spans="1:11">
      <c r="A19" s="18"/>
      <c r="B19" s="10">
        <v>3</v>
      </c>
      <c r="C19" s="20"/>
      <c r="D19" s="12"/>
      <c r="E19" s="13"/>
      <c r="F19" s="13"/>
      <c r="G19" s="20"/>
      <c r="H19" s="36"/>
      <c r="I19" s="36"/>
      <c r="K19" s="33" cm="1">
        <f t="array" ref="K19">HYPERLINK("https://redmine.wdm.co.jp/issues/" &amp; INDEX(D:D,ROW()), INDEX(D:D,ROW()))</f>
        <v>0</v>
      </c>
    </row>
    <row r="20" spans="1:11">
      <c r="A20" s="18"/>
      <c r="B20" s="21"/>
      <c r="C20" s="22"/>
      <c r="D20" s="23"/>
      <c r="E20" s="24"/>
      <c r="F20" s="24"/>
      <c r="G20" s="22"/>
      <c r="K20" s="16"/>
    </row>
    <row r="21" spans="1:11">
      <c r="A21" s="18"/>
      <c r="B21" s="55"/>
      <c r="C21" s="56"/>
      <c r="D21" s="56"/>
      <c r="E21" s="56"/>
      <c r="F21" s="56"/>
      <c r="G21" s="56"/>
      <c r="H21" s="56"/>
      <c r="I21" s="56"/>
      <c r="K21" s="16"/>
    </row>
    <row r="22" spans="1:11">
      <c r="A22" s="18"/>
      <c r="B22" s="18"/>
      <c r="E22" s="34"/>
    </row>
    <row r="23" spans="1:11" s="9" customFormat="1">
      <c r="A23" s="8" t="s">
        <v>25</v>
      </c>
      <c r="B23" s="8"/>
      <c r="C23" s="25"/>
      <c r="E23" s="26"/>
      <c r="F23" s="26"/>
      <c r="H23" s="39"/>
      <c r="I23" s="39"/>
    </row>
    <row r="24" spans="1:11" s="9" customFormat="1">
      <c r="A24" s="8"/>
      <c r="B24" s="40" t="s">
        <v>15</v>
      </c>
      <c r="C24" s="41" t="s">
        <v>16</v>
      </c>
      <c r="D24" s="42" t="s">
        <v>17</v>
      </c>
      <c r="E24" s="43" t="s">
        <v>18</v>
      </c>
      <c r="F24" s="43" t="s">
        <v>19</v>
      </c>
      <c r="G24" s="44" t="s">
        <v>20</v>
      </c>
      <c r="H24" s="38" t="s">
        <v>21</v>
      </c>
      <c r="I24" s="38" t="s">
        <v>22</v>
      </c>
    </row>
    <row r="25" spans="1:11" s="9" customFormat="1" ht="15.75">
      <c r="A25" s="8"/>
      <c r="B25" s="49" t="s">
        <v>23</v>
      </c>
      <c r="C25" s="50"/>
      <c r="D25" s="50"/>
      <c r="E25" s="50"/>
      <c r="F25" s="50"/>
      <c r="G25" s="50"/>
      <c r="H25" s="50"/>
      <c r="I25" s="51"/>
    </row>
    <row r="26" spans="1:11" s="9" customFormat="1">
      <c r="A26" s="8"/>
      <c r="B26" s="10">
        <v>1</v>
      </c>
      <c r="C26" s="11"/>
      <c r="D26" s="12"/>
      <c r="E26" s="13"/>
      <c r="F26" s="14"/>
      <c r="G26" s="47"/>
      <c r="H26" s="35"/>
      <c r="I26" s="35"/>
      <c r="K26" s="33" cm="1">
        <f t="array" ref="K26">HYPERLINK("https://redmine.wdm.co.jp/issues/" &amp; INDEX(D:D,ROW()), INDEX(D:D,ROW()))</f>
        <v>0</v>
      </c>
    </row>
    <row r="27" spans="1:11" s="9" customFormat="1">
      <c r="A27" s="18"/>
      <c r="B27" s="10">
        <v>2</v>
      </c>
      <c r="C27" s="11"/>
      <c r="D27" s="12"/>
      <c r="E27" s="13"/>
      <c r="F27" s="14"/>
      <c r="G27" s="15"/>
      <c r="H27" s="35"/>
      <c r="I27" s="35"/>
      <c r="J27" s="6"/>
      <c r="K27" s="33" cm="1">
        <f t="array" ref="K27">HYPERLINK("https://redmine.wdm.co.jp/issues/" &amp; INDEX(D:D,ROW()), INDEX(D:D,ROW()))</f>
        <v>0</v>
      </c>
    </row>
    <row r="28" spans="1:11" s="9" customFormat="1">
      <c r="A28" s="18"/>
      <c r="B28" s="10">
        <v>3</v>
      </c>
      <c r="C28" s="11"/>
      <c r="D28" s="12"/>
      <c r="E28" s="19"/>
      <c r="F28" s="14"/>
      <c r="G28" s="15"/>
      <c r="H28" s="36"/>
      <c r="I28" s="36"/>
      <c r="J28" s="6"/>
      <c r="K28" s="33" cm="1">
        <f t="array" ref="K28">HYPERLINK("https://redmine.wdm.co.jp/issues/" &amp; INDEX(D:D,ROW()), INDEX(D:D,ROW()))</f>
        <v>0</v>
      </c>
    </row>
    <row r="29" spans="1:11">
      <c r="A29" s="18"/>
      <c r="B29" s="10">
        <v>4</v>
      </c>
      <c r="C29" s="11"/>
      <c r="D29" s="12"/>
      <c r="E29" s="13"/>
      <c r="F29" s="28"/>
      <c r="G29" s="30"/>
      <c r="H29" s="35"/>
      <c r="I29" s="35"/>
      <c r="K29" s="33" cm="1">
        <f t="array" ref="K29">HYPERLINK("https://redmine.wdm.co.jp/issues/" &amp; INDEX(D:D,ROW()), INDEX(D:D,ROW()))</f>
        <v>0</v>
      </c>
    </row>
    <row r="30" spans="1:11">
      <c r="A30" s="18"/>
      <c r="B30" s="10">
        <v>5</v>
      </c>
      <c r="C30" s="11"/>
      <c r="D30" s="12"/>
      <c r="E30" s="19"/>
      <c r="F30" s="13"/>
      <c r="G30" s="30"/>
      <c r="H30" s="36"/>
      <c r="I30" s="36"/>
      <c r="J30" s="16"/>
      <c r="K30" s="33" cm="1">
        <f t="array" ref="K30">HYPERLINK("https://redmine.wdm.co.jp/issues/" &amp; INDEX(D:D,ROW()), INDEX(D:D,ROW()))</f>
        <v>0</v>
      </c>
    </row>
    <row r="31" spans="1:11">
      <c r="A31" s="18"/>
      <c r="B31" s="10">
        <v>6</v>
      </c>
      <c r="C31" s="11"/>
      <c r="D31" s="12"/>
      <c r="E31" s="19"/>
      <c r="F31" s="13"/>
      <c r="G31" s="30"/>
      <c r="H31" s="36"/>
      <c r="I31" s="36"/>
      <c r="J31" s="16"/>
      <c r="K31" s="33" cm="1">
        <f t="array" ref="K31">HYPERLINK("https://redmine.wdm.co.jp/issues/" &amp; INDEX(D:D,ROW()), INDEX(D:D,ROW()))</f>
        <v>0</v>
      </c>
    </row>
    <row r="32" spans="1:11">
      <c r="A32" s="18"/>
      <c r="B32" s="10">
        <v>7</v>
      </c>
      <c r="C32" s="11"/>
      <c r="D32" s="12"/>
      <c r="E32" s="19"/>
      <c r="F32" s="13"/>
      <c r="G32" s="27"/>
      <c r="H32" s="36"/>
      <c r="I32" s="36"/>
      <c r="J32" s="16"/>
      <c r="K32" s="33" cm="1">
        <f t="array" ref="K32">HYPERLINK("https://redmine.wdm.co.jp/issues/" &amp; INDEX(D:D,ROW()), INDEX(D:D,ROW()))</f>
        <v>0</v>
      </c>
    </row>
    <row r="33" spans="1:11">
      <c r="A33" s="18"/>
      <c r="B33" s="10">
        <v>8</v>
      </c>
      <c r="C33" s="11"/>
      <c r="D33" s="12"/>
      <c r="E33" s="19"/>
      <c r="F33" s="13"/>
      <c r="G33" s="30"/>
      <c r="H33" s="36"/>
      <c r="I33" s="36"/>
      <c r="J33" s="16"/>
      <c r="K33" s="33" cm="1">
        <f t="array" ref="K33">HYPERLINK("https://redmine.wdm.co.jp/issues/" &amp; INDEX(D:D,ROW()), INDEX(D:D,ROW()))</f>
        <v>0</v>
      </c>
    </row>
    <row r="34" spans="1:11">
      <c r="A34" s="18"/>
      <c r="B34" s="10">
        <v>9</v>
      </c>
      <c r="C34" s="11"/>
      <c r="D34" s="12"/>
      <c r="E34" s="19"/>
      <c r="F34" s="13"/>
      <c r="G34" s="30"/>
      <c r="H34" s="36"/>
      <c r="I34" s="36"/>
      <c r="J34" s="16"/>
      <c r="K34" s="33" cm="1">
        <f t="array" ref="K34">HYPERLINK("https://redmine.wdm.co.jp/issues/" &amp; INDEX(D:D,ROW()), INDEX(D:D,ROW()))</f>
        <v>0</v>
      </c>
    </row>
    <row r="35" spans="1:11">
      <c r="A35" s="18"/>
      <c r="B35" s="10">
        <v>10</v>
      </c>
      <c r="C35" s="11"/>
      <c r="D35" s="12"/>
      <c r="E35" s="19"/>
      <c r="F35" s="13"/>
      <c r="G35" s="30"/>
      <c r="H35" s="36"/>
      <c r="I35" s="36"/>
      <c r="J35" s="16"/>
      <c r="K35" s="33" cm="1">
        <f t="array" ref="K35">HYPERLINK("https://redmine.wdm.co.jp/issues/" &amp; INDEX(D:D,ROW()), INDEX(D:D,ROW()))</f>
        <v>0</v>
      </c>
    </row>
    <row r="36" spans="1:11" ht="15.75">
      <c r="A36" s="18"/>
      <c r="B36" s="52" t="s">
        <v>24</v>
      </c>
      <c r="C36" s="53"/>
      <c r="D36" s="53"/>
      <c r="E36" s="53"/>
      <c r="F36" s="53"/>
      <c r="G36" s="53"/>
      <c r="H36" s="53"/>
      <c r="I36" s="54"/>
      <c r="J36" s="16"/>
      <c r="K36" s="33" cm="1">
        <f t="array" ref="K36">HYPERLINK("https://redmine.wdm.co.jp/issues/" &amp; INDEX(D:D,ROW()), INDEX(D:D,ROW()))</f>
        <v>0</v>
      </c>
    </row>
    <row r="37" spans="1:11">
      <c r="A37" s="18"/>
      <c r="B37" s="10">
        <v>1</v>
      </c>
      <c r="C37" s="11"/>
      <c r="D37" s="12"/>
      <c r="E37" s="19"/>
      <c r="F37" s="13"/>
      <c r="G37" s="46"/>
      <c r="H37" s="36"/>
      <c r="I37" s="36"/>
      <c r="J37" s="16"/>
      <c r="K37" s="33" cm="1">
        <f t="array" ref="K37">HYPERLINK("https://redmine.wdm.co.jp/issues/" &amp; INDEX(D:D,ROW()), INDEX(D:D,ROW()))</f>
        <v>0</v>
      </c>
    </row>
    <row r="38" spans="1:11">
      <c r="A38" s="18"/>
      <c r="B38" s="10">
        <v>2</v>
      </c>
      <c r="C38" s="11"/>
      <c r="D38" s="12"/>
      <c r="E38" s="19"/>
      <c r="F38" s="13"/>
      <c r="G38" s="46"/>
      <c r="H38" s="36"/>
      <c r="I38" s="36"/>
      <c r="J38" s="16"/>
      <c r="K38" s="33" cm="1">
        <f t="array" ref="K38">HYPERLINK("https://redmine.wdm.co.jp/issues/" &amp; INDEX(D:D,ROW()), INDEX(D:D,ROW()))</f>
        <v>0</v>
      </c>
    </row>
    <row r="39" spans="1:11">
      <c r="A39" s="18"/>
      <c r="B39" s="10">
        <v>3</v>
      </c>
      <c r="C39" s="11"/>
      <c r="D39" s="12"/>
      <c r="E39" s="19"/>
      <c r="F39" s="13"/>
      <c r="G39" s="46"/>
      <c r="H39" s="36"/>
      <c r="I39" s="36"/>
      <c r="J39" s="16"/>
      <c r="K39" s="33" cm="1">
        <f t="array" ref="K39">HYPERLINK("https://redmine.wdm.co.jp/issues/" &amp; INDEX(D:D,ROW()), INDEX(D:D,ROW()))</f>
        <v>0</v>
      </c>
    </row>
    <row r="40" spans="1:11">
      <c r="B40" s="23"/>
      <c r="C40" s="31"/>
      <c r="D40" s="23"/>
      <c r="E40" s="22"/>
      <c r="F40" s="24"/>
      <c r="G40" s="23"/>
    </row>
    <row r="41" spans="1:11">
      <c r="A41" s="18" t="s">
        <v>26</v>
      </c>
      <c r="E41" s="32"/>
    </row>
    <row r="42" spans="1:11">
      <c r="A42" s="18"/>
      <c r="B42" s="48"/>
      <c r="C42" s="48"/>
      <c r="D42" s="48"/>
      <c r="E42" s="48"/>
      <c r="F42" s="48"/>
      <c r="G42" s="48"/>
      <c r="H42" s="48"/>
      <c r="I42" s="48"/>
    </row>
  </sheetData>
  <mergeCells count="6">
    <mergeCell ref="B42:I42"/>
    <mergeCell ref="B6:I6"/>
    <mergeCell ref="B16:I16"/>
    <mergeCell ref="B21:I21"/>
    <mergeCell ref="B25:I25"/>
    <mergeCell ref="B36:I36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ce621b5-cdd3-4ef2-84b2-0489446dcdd1">
      <UserInfo>
        <DisplayName/>
        <AccountId xsi:nil="true"/>
        <AccountType/>
      </UserInfo>
    </SharedWithUsers>
    <lcf76f155ced4ddcb4097134ff3c332f xmlns="9c526fc8-1c03-4891-ad62-84198d1dd161">
      <Terms xmlns="http://schemas.microsoft.com/office/infopath/2007/PartnerControls"/>
    </lcf76f155ced4ddcb4097134ff3c332f>
    <TranslatedLang xmlns="9c526fc8-1c03-4891-ad62-84198d1dd1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6AC8E926499148B774FAFFA48A83AB" ma:contentTypeVersion="14" ma:contentTypeDescription="Create a new document." ma:contentTypeScope="" ma:versionID="13cdd01335c2d6d0a9cd9873c203574f">
  <xsd:schema xmlns:xsd="http://www.w3.org/2001/XMLSchema" xmlns:xs="http://www.w3.org/2001/XMLSchema" xmlns:p="http://schemas.microsoft.com/office/2006/metadata/properties" xmlns:ns2="9c526fc8-1c03-4891-ad62-84198d1dd161" xmlns:ns3="9ce621b5-cdd3-4ef2-84b2-0489446dcdd1" targetNamespace="http://schemas.microsoft.com/office/2006/metadata/properties" ma:root="true" ma:fieldsID="85ed5a6f3502639820bcfe3870c87931" ns2:_="" ns3:_="">
    <xsd:import namespace="9c526fc8-1c03-4891-ad62-84198d1dd161"/>
    <xsd:import namespace="9ce621b5-cdd3-4ef2-84b2-0489446dc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26fc8-1c03-4891-ad62-84198d1dd1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62331cb-f242-4b25-a220-7d96c29a9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TranslatedLang" ma:index="21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621b5-cdd3-4ef2-84b2-0489446dc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85E5D1-406B-4E85-8C2A-5F70A754CB55}">
  <ds:schemaRefs>
    <ds:schemaRef ds:uri="http://schemas.microsoft.com/office/2006/metadata/properties"/>
    <ds:schemaRef ds:uri="http://schemas.microsoft.com/office/infopath/2007/PartnerControls"/>
    <ds:schemaRef ds:uri="9ce621b5-cdd3-4ef2-84b2-0489446dcdd1"/>
    <ds:schemaRef ds:uri="9c526fc8-1c03-4891-ad62-84198d1dd161"/>
  </ds:schemaRefs>
</ds:datastoreItem>
</file>

<file path=customXml/itemProps2.xml><?xml version="1.0" encoding="utf-8"?>
<ds:datastoreItem xmlns:ds="http://schemas.openxmlformats.org/officeDocument/2006/customXml" ds:itemID="{EC3AEF01-D658-489F-A54D-77CE048864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3967D-4F70-4F0E-8F53-82F691AA6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26fc8-1c03-4891-ad62-84198d1dd161"/>
    <ds:schemaRef ds:uri="9ce621b5-cdd3-4ef2-84b2-0489446dc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Data</vt:lpstr>
      <vt:lpstr>→ Report (05.25~05.29)</vt:lpstr>
      <vt:lpstr>Report (mm.dd~mm.dd)</vt:lpstr>
      <vt:lpstr>Done</vt:lpstr>
      <vt:lpstr>SendPR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Dương Quang Khởi</cp:lastModifiedBy>
  <cp:revision/>
  <dcterms:created xsi:type="dcterms:W3CDTF">2025-01-15T02:18:27Z</dcterms:created>
  <dcterms:modified xsi:type="dcterms:W3CDTF">2026-05-30T03:36:48Z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0x010100A76AC8E926499148B774FAFFA48A83AB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1092400</vt:r8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_activity">
    <vt:lpwstr>{"FileActivityType":"9","FileActivityTimeStamp":"2026-04-14T03:27:49.017Z","FileActivityUsersOnPage":[{"DisplayName":"Dương Quang Khởi","Id":"khoiduong@freec.asia"},{"DisplayName":"La Hoàng Phi","Id":"phila@freec.asia"}],"FileActivityNavigationId":null}</vt:lpwstr>
  </property>
</Properties>
</file>